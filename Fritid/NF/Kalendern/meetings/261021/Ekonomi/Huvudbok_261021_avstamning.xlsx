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768e0e598e90526/AI/Codex/Fritid/NF/Kalendern/meetings/261022/Ekonomi/"/>
    </mc:Choice>
  </mc:AlternateContent>
  <xr:revisionPtr revIDLastSave="1" documentId="11_FA7DC044CAB8F9F323EB36E79FDE2D1682D313A4" xr6:coauthVersionLast="47" xr6:coauthVersionMax="47" xr10:uidLastSave="{7DA074F0-2A0F-463D-826F-2F54286598EE}"/>
  <bookViews>
    <workbookView xWindow="-28920" yWindow="-120" windowWidth="29040" windowHeight="15720" activeTab="1" xr2:uid="{00000000-000D-0000-FFFF-FFFF00000000}"/>
  </bookViews>
  <sheets>
    <sheet name="Huvudbok" sheetId="1" r:id="rId1"/>
    <sheet name="Avstämning" sheetId="2" r:id="rId2"/>
    <sheet name="Scenar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9" i="3"/>
  <c r="B8" i="3"/>
  <c r="B5" i="3"/>
  <c r="B14" i="3" s="1"/>
  <c r="B15" i="3" s="1"/>
  <c r="B4" i="3"/>
  <c r="C13" i="2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B20" i="3" l="1"/>
  <c r="B13" i="2"/>
  <c r="B21" i="3" s="1"/>
  <c r="D5" i="2"/>
  <c r="B19" i="3" l="1"/>
  <c r="C19" i="3" s="1"/>
  <c r="D13" i="2"/>
  <c r="B15" i="2"/>
</calcChain>
</file>

<file path=xl/sharedStrings.xml><?xml version="1.0" encoding="utf-8"?>
<sst xmlns="http://schemas.openxmlformats.org/spreadsheetml/2006/main" count="182" uniqueCount="123">
  <si>
    <t>Lunds Naturskyddsförening – Huvudbok 2026-10-21 (rader från Huvudbok_261021.docx)</t>
  </si>
  <si>
    <t>Rader överförda i huvudbokens ordning. Röda kommentarer markerar avvikelser. Verifikat 38–40 och Kvisten-raden är nya sedan förra perioden (2026-09-23).</t>
  </si>
  <si>
    <t>Kategori</t>
  </si>
  <si>
    <t>Ver</t>
  </si>
  <si>
    <t>Datum</t>
  </si>
  <si>
    <t>Text</t>
  </si>
  <si>
    <t>Belopp (kr)</t>
  </si>
  <si>
    <t>Kommentar</t>
  </si>
  <si>
    <t>Medlemsavgifter</t>
  </si>
  <si>
    <t>2026-07-01</t>
  </si>
  <si>
    <t>Saknar verifikationsnummer</t>
  </si>
  <si>
    <t>Miljöanslag</t>
  </si>
  <si>
    <t>2026-01-02</t>
  </si>
  <si>
    <t>Fotoutställning (miljöanslag)</t>
  </si>
  <si>
    <t>Ersättning cykelkarta</t>
  </si>
  <si>
    <t>2026-05-10</t>
  </si>
  <si>
    <t>Cykelkarta Sjöbo kommun</t>
  </si>
  <si>
    <t>2026-06-10</t>
  </si>
  <si>
    <t>Cykelkarta Lunds kommun</t>
  </si>
  <si>
    <t>2026-09-18</t>
  </si>
  <si>
    <t>Cykelkarta Helsingborgs kommun</t>
  </si>
  <si>
    <t>Administration</t>
  </si>
  <si>
    <t>Avgift Ekobanken</t>
  </si>
  <si>
    <t>2026-04-13</t>
  </si>
  <si>
    <t>Storkfadder</t>
  </si>
  <si>
    <t>2026-08-20</t>
  </si>
  <si>
    <t>Trycksaker inför valet</t>
  </si>
  <si>
    <t>2026-06-01</t>
  </si>
  <si>
    <t>Försäljning bok "Cykelturer i Lundabygden"</t>
  </si>
  <si>
    <t>Intäkt, står bland Administrationens rader i huvudboken</t>
  </si>
  <si>
    <t>2026-09-30</t>
  </si>
  <si>
    <t>Utlägg Skördefesten muggar</t>
  </si>
  <si>
    <t>Skrivet -100.00 (punkt) i huvudboken</t>
  </si>
  <si>
    <t>2026-11-05</t>
  </si>
  <si>
    <t>Hyra Kvisten Skrylle 16/8</t>
  </si>
  <si>
    <t>Saknar verifikationsnummer; datum 2026-11-05 men text "16/8"</t>
  </si>
  <si>
    <t>Programblad</t>
  </si>
  <si>
    <t>2026-02-02</t>
  </si>
  <si>
    <t>Tryck vårprogram</t>
  </si>
  <si>
    <t>2026-02-16</t>
  </si>
  <si>
    <t>Distribution vårprogram</t>
  </si>
  <si>
    <t>2026-03-20</t>
  </si>
  <si>
    <t>Frimärke</t>
  </si>
  <si>
    <t>Etiketter</t>
  </si>
  <si>
    <t>2026-08-17</t>
  </si>
  <si>
    <t>Etiketter höstprogram</t>
  </si>
  <si>
    <t>Tryck höstprogram</t>
  </si>
  <si>
    <t>2026-09-21</t>
  </si>
  <si>
    <t>Distribution höstprogram</t>
  </si>
  <si>
    <t>2026-09-28</t>
  </si>
  <si>
    <t>Frimärken</t>
  </si>
  <si>
    <t>Arrangemang</t>
  </si>
  <si>
    <t>Fika årsmötet</t>
  </si>
  <si>
    <t>2026-06-25</t>
  </si>
  <si>
    <t>Polistillstånd inför valet</t>
  </si>
  <si>
    <t>Cykelkarta</t>
  </si>
  <si>
    <t>Månadshyra server cykelkarta</t>
  </si>
  <si>
    <t>2026-03-04</t>
  </si>
  <si>
    <t>Skrivet -333.00 (punkt) i huvudboken</t>
  </si>
  <si>
    <t>2026-04-02</t>
  </si>
  <si>
    <t>2026-05-05</t>
  </si>
  <si>
    <t>2026-05-28</t>
  </si>
  <si>
    <t>Tryck cykelkarta Lund tätort</t>
  </si>
  <si>
    <t>2026-05-25</t>
  </si>
  <si>
    <t>Tryck cykelkarta Lunds omgivningar</t>
  </si>
  <si>
    <t>Månadshyra server cykelkarta maj</t>
  </si>
  <si>
    <t>2026-06-22</t>
  </si>
  <si>
    <t>Tryck cykelkarta Sjöbo kommun</t>
  </si>
  <si>
    <t>Månadshyra server cykelkarta juni</t>
  </si>
  <si>
    <t>2026-08-04</t>
  </si>
  <si>
    <t>Månadshyra server cykelkarta juli</t>
  </si>
  <si>
    <t>2026-09-01</t>
  </si>
  <si>
    <t>Månadshyra server cykelkarta augusti</t>
  </si>
  <si>
    <t>2026-09-09</t>
  </si>
  <si>
    <t>Tryck cykelkarta Helsingborg syd</t>
  </si>
  <si>
    <t>Tryck cykelkarta Helsingborg norr</t>
  </si>
  <si>
    <t>2026-10-02</t>
  </si>
  <si>
    <t>Månadshyra server cykelkarta september</t>
  </si>
  <si>
    <t>Månadshyra server cykelkarta oktober</t>
  </si>
  <si>
    <t>Rad utan belopp, datum och verifikationsnummer</t>
  </si>
  <si>
    <t>Fotoutställning</t>
  </si>
  <si>
    <t>2026-01-28</t>
  </si>
  <si>
    <t>Polistillstånd fotoutställning</t>
  </si>
  <si>
    <t>2026-03-02</t>
  </si>
  <si>
    <t>Material fotoutställning</t>
  </si>
  <si>
    <t>2026-03-09</t>
  </si>
  <si>
    <t>Tryck fotoutställning</t>
  </si>
  <si>
    <t>Skyltar, banderoll fotoutställning</t>
  </si>
  <si>
    <t>Material och transport</t>
  </si>
  <si>
    <t>2026-04-27</t>
  </si>
  <si>
    <t>Sandsäckar</t>
  </si>
  <si>
    <t>2026-08-27</t>
  </si>
  <si>
    <t>Reglar, transport m m till utställningen</t>
  </si>
  <si>
    <t>Avstämning: delsummor och slutrad</t>
  </si>
  <si>
    <t>Gult = värde avskrivet från huvudboken. Övriga celler är formler.</t>
  </si>
  <si>
    <t>Summa av rader (beräknad)</t>
  </si>
  <si>
    <t>Huvudbokens delsumma</t>
  </si>
  <si>
    <t>Skillnad</t>
  </si>
  <si>
    <t>Resultat (summa av delsummor)</t>
  </si>
  <si>
    <t>Huvudbokens slutrad ("Resultat")</t>
  </si>
  <si>
    <t>Skillnad: beräknat resultat minus huvudbokens slutrad</t>
  </si>
  <si>
    <t>← 0 om slutraden stämmer</t>
  </si>
  <si>
    <t>Scenario: vad ger huvudbokens slutrad om vissa rader inte räknats med?</t>
  </si>
  <si>
    <t>Ändra gula celler: 1 = raden är med i slutraden, 0 = inte med. Skriv ett negativt belopp för serverhyra oktober om du vill pröva det.</t>
  </si>
  <si>
    <t>Huvudbokens slutrad</t>
  </si>
  <si>
    <t>Rader t.o.m. verifikat 37 (= förra periodens resultat)</t>
  </si>
  <si>
    <t>Post</t>
  </si>
  <si>
    <t>Med i slutraden (1/0)</t>
  </si>
  <si>
    <t>Verifikat 38 Frimärken</t>
  </si>
  <si>
    <t>Verifikat 39 Muggar</t>
  </si>
  <si>
    <t>Verifikat 40 Serverhyra september</t>
  </si>
  <si>
    <t>Hyra Kvisten Skrylle (utan verifikat)</t>
  </si>
  <si>
    <t>Serverhyra oktober (belopp, negativt)</t>
  </si>
  <si>
    <t>Resultat enligt scenariot</t>
  </si>
  <si>
    <t>Skillnad mot huvudbokens slutrad</t>
  </si>
  <si>
    <t>← 0 betyder att scenariot förklarar slutraden</t>
  </si>
  <si>
    <t>Färdiga hypoteser</t>
  </si>
  <si>
    <t>Hypotes</t>
  </si>
  <si>
    <t>Resultat / belopp</t>
  </si>
  <si>
    <t>Skillnad mot slutrad</t>
  </si>
  <si>
    <t>H1: slutraden saknar verifikat 38 och 39 (resultat)</t>
  </si>
  <si>
    <t>H2: slutraden saknar 38, 39 och 40 men har serverhyra oktober (belopp som krävs)</t>
  </si>
  <si>
    <t>H3: saknad post som krävs (intäkt +, kostnad 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</si>
</sst>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\-"/>
  </numFmts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1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4" fillId="3" borderId="0" xfId="0" applyFont="1" applyFill="1"/>
    <xf numFmtId="0" fontId="3" fillId="2" borderId="0" xfId="0" applyFont="1" applyFill="1" applyAlignment="1">
      <alignment wrapText="1"/>
    </xf>
    <xf numFmtId="164" fontId="4" fillId="4" borderId="0" xfId="0" applyNumberFormat="1" applyFont="1" applyFill="1"/>
    <xf numFmtId="0" fontId="5" fillId="0" borderId="0" xfId="0" applyFont="1"/>
    <xf numFmtId="164" fontId="5" fillId="0" borderId="0" xfId="0" applyNumberFormat="1" applyFont="1"/>
    <xf numFmtId="164" fontId="3" fillId="2" borderId="0" xfId="0" applyNumberFormat="1" applyFont="1" applyFill="1"/>
    <xf numFmtId="1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workbookViewId="0">
      <pane ySplit="4" topLeftCell="A19" activePane="bottomLeft" state="frozen"/>
      <selection pane="bottomLeft"/>
    </sheetView>
  </sheetViews>
  <sheetFormatPr defaultRowHeight="15" x14ac:dyDescent="0.25"/>
  <cols>
    <col min="1" max="1" width="24" customWidth="1"/>
    <col min="2" max="2" width="6" customWidth="1"/>
    <col min="3" max="3" width="12" customWidth="1"/>
    <col min="4" max="4" width="46" customWidth="1"/>
    <col min="5" max="5" width="14" customWidth="1"/>
    <col min="6" max="6" width="58" customWidth="1"/>
  </cols>
  <sheetData>
    <row r="1" spans="1:6" ht="16.5" x14ac:dyDescent="0.25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 t="s">
        <v>9</v>
      </c>
      <c r="D5" s="4" t="s">
        <v>8</v>
      </c>
      <c r="E5" s="5">
        <v>66156</v>
      </c>
      <c r="F5" s="6" t="s">
        <v>10</v>
      </c>
    </row>
    <row r="6" spans="1:6" x14ac:dyDescent="0.25">
      <c r="A6" s="4" t="s">
        <v>11</v>
      </c>
      <c r="B6" s="4">
        <v>2</v>
      </c>
      <c r="C6" s="4" t="s">
        <v>12</v>
      </c>
      <c r="D6" s="4" t="s">
        <v>13</v>
      </c>
      <c r="E6" s="5">
        <v>54000</v>
      </c>
      <c r="F6" s="4"/>
    </row>
    <row r="7" spans="1:6" x14ac:dyDescent="0.25">
      <c r="A7" s="4" t="s">
        <v>14</v>
      </c>
      <c r="B7" s="4">
        <v>22</v>
      </c>
      <c r="C7" s="4" t="s">
        <v>15</v>
      </c>
      <c r="D7" s="4" t="s">
        <v>16</v>
      </c>
      <c r="E7" s="5">
        <v>13000</v>
      </c>
      <c r="F7" s="4"/>
    </row>
    <row r="8" spans="1:6" x14ac:dyDescent="0.25">
      <c r="A8" s="4" t="s">
        <v>14</v>
      </c>
      <c r="B8" s="4">
        <v>23</v>
      </c>
      <c r="C8" s="4" t="s">
        <v>17</v>
      </c>
      <c r="D8" s="4" t="s">
        <v>18</v>
      </c>
      <c r="E8" s="5">
        <v>45000</v>
      </c>
      <c r="F8" s="4"/>
    </row>
    <row r="9" spans="1:6" x14ac:dyDescent="0.25">
      <c r="A9" s="4" t="s">
        <v>14</v>
      </c>
      <c r="B9" s="4">
        <v>36</v>
      </c>
      <c r="C9" s="4" t="s">
        <v>19</v>
      </c>
      <c r="D9" s="4" t="s">
        <v>20</v>
      </c>
      <c r="E9" s="5">
        <v>39000</v>
      </c>
      <c r="F9" s="4"/>
    </row>
    <row r="10" spans="1:6" x14ac:dyDescent="0.25">
      <c r="A10" s="4" t="s">
        <v>21</v>
      </c>
      <c r="B10" s="4">
        <v>1</v>
      </c>
      <c r="C10" s="4" t="s">
        <v>12</v>
      </c>
      <c r="D10" s="4" t="s">
        <v>22</v>
      </c>
      <c r="E10" s="5">
        <v>-1490</v>
      </c>
      <c r="F10" s="4"/>
    </row>
    <row r="11" spans="1:6" x14ac:dyDescent="0.25">
      <c r="A11" s="4" t="s">
        <v>21</v>
      </c>
      <c r="B11" s="4">
        <v>16</v>
      </c>
      <c r="C11" s="4" t="s">
        <v>23</v>
      </c>
      <c r="D11" s="4" t="s">
        <v>24</v>
      </c>
      <c r="E11" s="5">
        <v>-1000</v>
      </c>
      <c r="F11" s="4"/>
    </row>
    <row r="12" spans="1:6" x14ac:dyDescent="0.25">
      <c r="A12" s="4" t="s">
        <v>21</v>
      </c>
      <c r="B12" s="4">
        <v>31</v>
      </c>
      <c r="C12" s="4" t="s">
        <v>25</v>
      </c>
      <c r="D12" s="4" t="s">
        <v>26</v>
      </c>
      <c r="E12" s="5">
        <v>-3875</v>
      </c>
      <c r="F12" s="4"/>
    </row>
    <row r="13" spans="1:6" x14ac:dyDescent="0.25">
      <c r="A13" s="4" t="s">
        <v>21</v>
      </c>
      <c r="B13" s="4">
        <v>24</v>
      </c>
      <c r="C13" s="4" t="s">
        <v>27</v>
      </c>
      <c r="D13" s="4" t="s">
        <v>28</v>
      </c>
      <c r="E13" s="5">
        <v>2000</v>
      </c>
      <c r="F13" s="6" t="s">
        <v>29</v>
      </c>
    </row>
    <row r="14" spans="1:6" x14ac:dyDescent="0.25">
      <c r="A14" s="4" t="s">
        <v>21</v>
      </c>
      <c r="B14" s="4">
        <v>39</v>
      </c>
      <c r="C14" s="4" t="s">
        <v>30</v>
      </c>
      <c r="D14" s="4" t="s">
        <v>31</v>
      </c>
      <c r="E14" s="5">
        <v>-100</v>
      </c>
      <c r="F14" s="6" t="s">
        <v>32</v>
      </c>
    </row>
    <row r="15" spans="1:6" x14ac:dyDescent="0.25">
      <c r="A15" s="4" t="s">
        <v>21</v>
      </c>
      <c r="B15" s="4"/>
      <c r="C15" s="4" t="s">
        <v>33</v>
      </c>
      <c r="D15" s="4" t="s">
        <v>34</v>
      </c>
      <c r="E15" s="5">
        <v>-1450</v>
      </c>
      <c r="F15" s="6" t="s">
        <v>35</v>
      </c>
    </row>
    <row r="16" spans="1:6" x14ac:dyDescent="0.25">
      <c r="A16" s="4" t="s">
        <v>36</v>
      </c>
      <c r="B16" s="4">
        <v>5</v>
      </c>
      <c r="C16" s="4" t="s">
        <v>37</v>
      </c>
      <c r="D16" s="4" t="s">
        <v>38</v>
      </c>
      <c r="E16" s="5">
        <v>-16430</v>
      </c>
      <c r="F16" s="4"/>
    </row>
    <row r="17" spans="1:6" x14ac:dyDescent="0.25">
      <c r="A17" s="4" t="s">
        <v>36</v>
      </c>
      <c r="B17" s="4">
        <v>6</v>
      </c>
      <c r="C17" s="4" t="s">
        <v>39</v>
      </c>
      <c r="D17" s="4" t="s">
        <v>40</v>
      </c>
      <c r="E17" s="5">
        <v>-20494</v>
      </c>
      <c r="F17" s="4"/>
    </row>
    <row r="18" spans="1:6" x14ac:dyDescent="0.25">
      <c r="A18" s="4" t="s">
        <v>36</v>
      </c>
      <c r="B18" s="4">
        <v>12</v>
      </c>
      <c r="C18" s="4" t="s">
        <v>41</v>
      </c>
      <c r="D18" s="4" t="s">
        <v>42</v>
      </c>
      <c r="E18" s="5">
        <v>-220</v>
      </c>
      <c r="F18" s="4"/>
    </row>
    <row r="19" spans="1:6" x14ac:dyDescent="0.25">
      <c r="A19" s="4" t="s">
        <v>36</v>
      </c>
      <c r="B19" s="4">
        <v>13</v>
      </c>
      <c r="C19" s="4" t="s">
        <v>41</v>
      </c>
      <c r="D19" s="4" t="s">
        <v>43</v>
      </c>
      <c r="E19" s="5">
        <v>-498</v>
      </c>
      <c r="F19" s="4"/>
    </row>
    <row r="20" spans="1:6" x14ac:dyDescent="0.25">
      <c r="A20" s="4" t="s">
        <v>36</v>
      </c>
      <c r="B20" s="4">
        <v>30</v>
      </c>
      <c r="C20" s="4" t="s">
        <v>44</v>
      </c>
      <c r="D20" s="4" t="s">
        <v>45</v>
      </c>
      <c r="E20" s="5">
        <v>-289</v>
      </c>
      <c r="F20" s="4"/>
    </row>
    <row r="21" spans="1:6" x14ac:dyDescent="0.25">
      <c r="A21" s="4" t="s">
        <v>36</v>
      </c>
      <c r="B21" s="4">
        <v>35</v>
      </c>
      <c r="C21" s="4" t="s">
        <v>19</v>
      </c>
      <c r="D21" s="4" t="s">
        <v>46</v>
      </c>
      <c r="E21" s="5">
        <v>-16833</v>
      </c>
      <c r="F21" s="4"/>
    </row>
    <row r="22" spans="1:6" x14ac:dyDescent="0.25">
      <c r="A22" s="4" t="s">
        <v>36</v>
      </c>
      <c r="B22" s="4">
        <v>37</v>
      </c>
      <c r="C22" s="4" t="s">
        <v>47</v>
      </c>
      <c r="D22" s="4" t="s">
        <v>48</v>
      </c>
      <c r="E22" s="5">
        <v>-20494</v>
      </c>
      <c r="F22" s="4"/>
    </row>
    <row r="23" spans="1:6" x14ac:dyDescent="0.25">
      <c r="A23" s="4" t="s">
        <v>36</v>
      </c>
      <c r="B23" s="4">
        <v>38</v>
      </c>
      <c r="C23" s="4" t="s">
        <v>49</v>
      </c>
      <c r="D23" s="4" t="s">
        <v>50</v>
      </c>
      <c r="E23" s="5">
        <v>-242</v>
      </c>
      <c r="F23" s="4"/>
    </row>
    <row r="24" spans="1:6" x14ac:dyDescent="0.25">
      <c r="A24" s="4" t="s">
        <v>51</v>
      </c>
      <c r="B24" s="4">
        <v>14</v>
      </c>
      <c r="C24" s="4" t="s">
        <v>41</v>
      </c>
      <c r="D24" s="4" t="s">
        <v>52</v>
      </c>
      <c r="E24" s="5">
        <v>-218.85</v>
      </c>
      <c r="F24" s="4"/>
    </row>
    <row r="25" spans="1:6" x14ac:dyDescent="0.25">
      <c r="A25" s="4" t="s">
        <v>51</v>
      </c>
      <c r="B25" s="4">
        <v>26</v>
      </c>
      <c r="C25" s="4" t="s">
        <v>53</v>
      </c>
      <c r="D25" s="4" t="s">
        <v>54</v>
      </c>
      <c r="E25" s="5">
        <v>-990</v>
      </c>
      <c r="F25" s="4"/>
    </row>
    <row r="26" spans="1:6" x14ac:dyDescent="0.25">
      <c r="A26" s="4" t="s">
        <v>55</v>
      </c>
      <c r="B26" s="4">
        <v>4</v>
      </c>
      <c r="C26" s="4" t="s">
        <v>37</v>
      </c>
      <c r="D26" s="4" t="s">
        <v>56</v>
      </c>
      <c r="E26" s="5">
        <v>-330.75</v>
      </c>
      <c r="F26" s="4"/>
    </row>
    <row r="27" spans="1:6" x14ac:dyDescent="0.25">
      <c r="A27" s="4" t="s">
        <v>55</v>
      </c>
      <c r="B27" s="4">
        <v>8</v>
      </c>
      <c r="C27" s="4" t="s">
        <v>57</v>
      </c>
      <c r="D27" s="4" t="s">
        <v>56</v>
      </c>
      <c r="E27" s="5">
        <v>-333</v>
      </c>
      <c r="F27" s="6" t="s">
        <v>58</v>
      </c>
    </row>
    <row r="28" spans="1:6" x14ac:dyDescent="0.25">
      <c r="A28" s="4" t="s">
        <v>55</v>
      </c>
      <c r="B28" s="4">
        <v>15</v>
      </c>
      <c r="C28" s="4" t="s">
        <v>59</v>
      </c>
      <c r="D28" s="4" t="s">
        <v>56</v>
      </c>
      <c r="E28" s="5">
        <v>-339.16</v>
      </c>
      <c r="F28" s="4"/>
    </row>
    <row r="29" spans="1:6" x14ac:dyDescent="0.25">
      <c r="A29" s="4" t="s">
        <v>55</v>
      </c>
      <c r="B29" s="4">
        <v>18</v>
      </c>
      <c r="C29" s="4" t="s">
        <v>60</v>
      </c>
      <c r="D29" s="4" t="s">
        <v>56</v>
      </c>
      <c r="E29" s="5">
        <v>-338</v>
      </c>
      <c r="F29" s="4"/>
    </row>
    <row r="30" spans="1:6" x14ac:dyDescent="0.25">
      <c r="A30" s="4" t="s">
        <v>55</v>
      </c>
      <c r="B30" s="4">
        <v>19</v>
      </c>
      <c r="C30" s="4" t="s">
        <v>61</v>
      </c>
      <c r="D30" s="4" t="s">
        <v>62</v>
      </c>
      <c r="E30" s="5">
        <v>-20331</v>
      </c>
      <c r="F30" s="4"/>
    </row>
    <row r="31" spans="1:6" x14ac:dyDescent="0.25">
      <c r="A31" s="4" t="s">
        <v>55</v>
      </c>
      <c r="B31" s="4">
        <v>20</v>
      </c>
      <c r="C31" s="4" t="s">
        <v>63</v>
      </c>
      <c r="D31" s="4" t="s">
        <v>64</v>
      </c>
      <c r="E31" s="5">
        <v>-20331</v>
      </c>
      <c r="F31" s="4"/>
    </row>
    <row r="32" spans="1:6" x14ac:dyDescent="0.25">
      <c r="A32" s="4" t="s">
        <v>55</v>
      </c>
      <c r="B32" s="4">
        <v>21</v>
      </c>
      <c r="C32" s="4" t="s">
        <v>27</v>
      </c>
      <c r="D32" s="4" t="s">
        <v>65</v>
      </c>
      <c r="E32" s="5">
        <v>-440</v>
      </c>
      <c r="F32" s="4"/>
    </row>
    <row r="33" spans="1:6" x14ac:dyDescent="0.25">
      <c r="A33" s="4" t="s">
        <v>55</v>
      </c>
      <c r="B33" s="4">
        <v>25</v>
      </c>
      <c r="C33" s="4" t="s">
        <v>66</v>
      </c>
      <c r="D33" s="4" t="s">
        <v>67</v>
      </c>
      <c r="E33" s="5">
        <v>-12031</v>
      </c>
      <c r="F33" s="4"/>
    </row>
    <row r="34" spans="1:6" x14ac:dyDescent="0.25">
      <c r="A34" s="4" t="s">
        <v>55</v>
      </c>
      <c r="B34" s="4">
        <v>27</v>
      </c>
      <c r="C34" s="4" t="s">
        <v>9</v>
      </c>
      <c r="D34" s="4" t="s">
        <v>68</v>
      </c>
      <c r="E34" s="5">
        <v>-451</v>
      </c>
      <c r="F34" s="4"/>
    </row>
    <row r="35" spans="1:6" x14ac:dyDescent="0.25">
      <c r="A35" s="4" t="s">
        <v>55</v>
      </c>
      <c r="B35" s="4">
        <v>28</v>
      </c>
      <c r="C35" s="4" t="s">
        <v>69</v>
      </c>
      <c r="D35" s="4" t="s">
        <v>70</v>
      </c>
      <c r="E35" s="5">
        <v>-451</v>
      </c>
      <c r="F35" s="4"/>
    </row>
    <row r="36" spans="1:6" x14ac:dyDescent="0.25">
      <c r="A36" s="4" t="s">
        <v>55</v>
      </c>
      <c r="B36" s="4">
        <v>32</v>
      </c>
      <c r="C36" s="4" t="s">
        <v>71</v>
      </c>
      <c r="D36" s="4" t="s">
        <v>72</v>
      </c>
      <c r="E36" s="5">
        <v>-452</v>
      </c>
      <c r="F36" s="4"/>
    </row>
    <row r="37" spans="1:6" x14ac:dyDescent="0.25">
      <c r="A37" s="4" t="s">
        <v>55</v>
      </c>
      <c r="B37" s="4">
        <v>33</v>
      </c>
      <c r="C37" s="4" t="s">
        <v>73</v>
      </c>
      <c r="D37" s="4" t="s">
        <v>74</v>
      </c>
      <c r="E37" s="5">
        <v>-17914</v>
      </c>
      <c r="F37" s="4"/>
    </row>
    <row r="38" spans="1:6" x14ac:dyDescent="0.25">
      <c r="A38" s="4" t="s">
        <v>55</v>
      </c>
      <c r="B38" s="4">
        <v>34</v>
      </c>
      <c r="C38" s="4" t="s">
        <v>73</v>
      </c>
      <c r="D38" s="4" t="s">
        <v>75</v>
      </c>
      <c r="E38" s="5">
        <v>-17914</v>
      </c>
      <c r="F38" s="4"/>
    </row>
    <row r="39" spans="1:6" x14ac:dyDescent="0.25">
      <c r="A39" s="4" t="s">
        <v>55</v>
      </c>
      <c r="B39" s="4">
        <v>40</v>
      </c>
      <c r="C39" s="4" t="s">
        <v>76</v>
      </c>
      <c r="D39" s="4" t="s">
        <v>77</v>
      </c>
      <c r="E39" s="5">
        <v>-460</v>
      </c>
      <c r="F39" s="4"/>
    </row>
    <row r="40" spans="1:6" x14ac:dyDescent="0.25">
      <c r="A40" s="4" t="s">
        <v>55</v>
      </c>
      <c r="B40" s="4"/>
      <c r="C40" s="4"/>
      <c r="D40" s="4" t="s">
        <v>78</v>
      </c>
      <c r="E40" s="5"/>
      <c r="F40" s="6" t="s">
        <v>79</v>
      </c>
    </row>
    <row r="41" spans="1:6" x14ac:dyDescent="0.25">
      <c r="A41" s="4" t="s">
        <v>80</v>
      </c>
      <c r="B41" s="4">
        <v>3</v>
      </c>
      <c r="C41" s="4" t="s">
        <v>81</v>
      </c>
      <c r="D41" s="4" t="s">
        <v>82</v>
      </c>
      <c r="E41" s="5">
        <v>-1980</v>
      </c>
      <c r="F41" s="4"/>
    </row>
    <row r="42" spans="1:6" x14ac:dyDescent="0.25">
      <c r="A42" s="4" t="s">
        <v>80</v>
      </c>
      <c r="B42" s="4">
        <v>7</v>
      </c>
      <c r="C42" s="4" t="s">
        <v>83</v>
      </c>
      <c r="D42" s="4" t="s">
        <v>84</v>
      </c>
      <c r="E42" s="5">
        <v>-5981</v>
      </c>
      <c r="F42" s="4"/>
    </row>
    <row r="43" spans="1:6" x14ac:dyDescent="0.25">
      <c r="A43" s="4" t="s">
        <v>80</v>
      </c>
      <c r="B43" s="4">
        <v>9</v>
      </c>
      <c r="C43" s="4" t="s">
        <v>85</v>
      </c>
      <c r="D43" s="4" t="s">
        <v>86</v>
      </c>
      <c r="E43" s="5">
        <v>-14808</v>
      </c>
      <c r="F43" s="4"/>
    </row>
    <row r="44" spans="1:6" x14ac:dyDescent="0.25">
      <c r="A44" s="4" t="s">
        <v>80</v>
      </c>
      <c r="B44" s="4">
        <v>10</v>
      </c>
      <c r="C44" s="4" t="s">
        <v>85</v>
      </c>
      <c r="D44" s="4" t="s">
        <v>87</v>
      </c>
      <c r="E44" s="5">
        <v>-24848</v>
      </c>
      <c r="F44" s="4"/>
    </row>
    <row r="45" spans="1:6" x14ac:dyDescent="0.25">
      <c r="A45" s="4" t="s">
        <v>80</v>
      </c>
      <c r="B45" s="4">
        <v>11</v>
      </c>
      <c r="C45" s="4" t="s">
        <v>41</v>
      </c>
      <c r="D45" s="4" t="s">
        <v>88</v>
      </c>
      <c r="E45" s="5">
        <v>-3765.06</v>
      </c>
      <c r="F45" s="4"/>
    </row>
    <row r="46" spans="1:6" x14ac:dyDescent="0.25">
      <c r="A46" s="4" t="s">
        <v>80</v>
      </c>
      <c r="B46" s="4">
        <v>17</v>
      </c>
      <c r="C46" s="4" t="s">
        <v>89</v>
      </c>
      <c r="D46" s="4" t="s">
        <v>90</v>
      </c>
      <c r="E46" s="5">
        <v>-606.5</v>
      </c>
      <c r="F46" s="4"/>
    </row>
    <row r="47" spans="1:6" x14ac:dyDescent="0.25">
      <c r="A47" s="4" t="s">
        <v>80</v>
      </c>
      <c r="B47" s="4">
        <v>29</v>
      </c>
      <c r="C47" s="4" t="s">
        <v>91</v>
      </c>
      <c r="D47" s="4" t="s">
        <v>92</v>
      </c>
      <c r="E47" s="5">
        <v>-2036</v>
      </c>
      <c r="F47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/>
  </sheetViews>
  <sheetFormatPr defaultRowHeight="15" x14ac:dyDescent="0.25"/>
  <cols>
    <col min="1" max="1" width="58.28515625" customWidth="1"/>
    <col min="2" max="2" width="24" customWidth="1"/>
    <col min="3" max="3" width="22" customWidth="1"/>
    <col min="4" max="4" width="14" customWidth="1"/>
  </cols>
  <sheetData>
    <row r="1" spans="1:4" ht="16.5" x14ac:dyDescent="0.25">
      <c r="A1" s="1" t="s">
        <v>93</v>
      </c>
    </row>
    <row r="2" spans="1:4" x14ac:dyDescent="0.25">
      <c r="A2" s="2" t="s">
        <v>94</v>
      </c>
    </row>
    <row r="4" spans="1:4" ht="32.1" customHeight="1" x14ac:dyDescent="0.25">
      <c r="A4" s="7" t="s">
        <v>2</v>
      </c>
      <c r="B4" s="7" t="s">
        <v>95</v>
      </c>
      <c r="C4" s="7" t="s">
        <v>96</v>
      </c>
      <c r="D4" s="7" t="s">
        <v>97</v>
      </c>
    </row>
    <row r="5" spans="1:4" x14ac:dyDescent="0.25">
      <c r="A5" s="4" t="s">
        <v>8</v>
      </c>
      <c r="B5" s="5">
        <f>SUMIF(Huvudbok!$A$5:$A$47,A5,Huvudbok!$E$5:$E$47)</f>
        <v>66156</v>
      </c>
      <c r="C5" s="8">
        <v>66156</v>
      </c>
      <c r="D5" s="5">
        <f t="shared" ref="D5:D13" si="0">ROUND(B5-C5,2)</f>
        <v>0</v>
      </c>
    </row>
    <row r="6" spans="1:4" x14ac:dyDescent="0.25">
      <c r="A6" s="4" t="s">
        <v>11</v>
      </c>
      <c r="B6" s="5">
        <f>SUMIF(Huvudbok!$A$5:$A$47,A6,Huvudbok!$E$5:$E$47)</f>
        <v>54000</v>
      </c>
      <c r="C6" s="8">
        <v>54000</v>
      </c>
      <c r="D6" s="5">
        <f t="shared" si="0"/>
        <v>0</v>
      </c>
    </row>
    <row r="7" spans="1:4" x14ac:dyDescent="0.25">
      <c r="A7" s="4" t="s">
        <v>14</v>
      </c>
      <c r="B7" s="5">
        <f>SUMIF(Huvudbok!$A$5:$A$47,A7,Huvudbok!$E$5:$E$47)</f>
        <v>97000</v>
      </c>
      <c r="C7" s="8">
        <v>97000</v>
      </c>
      <c r="D7" s="5">
        <f t="shared" si="0"/>
        <v>0</v>
      </c>
    </row>
    <row r="8" spans="1:4" x14ac:dyDescent="0.25">
      <c r="A8" s="4" t="s">
        <v>21</v>
      </c>
      <c r="B8" s="5">
        <f>SUMIF(Huvudbok!$A$5:$A$47,A8,Huvudbok!$E$5:$E$47)</f>
        <v>-5915</v>
      </c>
      <c r="C8" s="8">
        <v>-5915</v>
      </c>
      <c r="D8" s="5">
        <f t="shared" si="0"/>
        <v>0</v>
      </c>
    </row>
    <row r="9" spans="1:4" x14ac:dyDescent="0.25">
      <c r="A9" s="4" t="s">
        <v>36</v>
      </c>
      <c r="B9" s="5">
        <f>SUMIF(Huvudbok!$A$5:$A$47,A9,Huvudbok!$E$5:$E$47)</f>
        <v>-75500</v>
      </c>
      <c r="C9" s="8">
        <v>-75500</v>
      </c>
      <c r="D9" s="5">
        <f t="shared" si="0"/>
        <v>0</v>
      </c>
    </row>
    <row r="10" spans="1:4" x14ac:dyDescent="0.25">
      <c r="A10" s="4" t="s">
        <v>51</v>
      </c>
      <c r="B10" s="5">
        <f>SUMIF(Huvudbok!$A$5:$A$47,A10,Huvudbok!$E$5:$E$47)</f>
        <v>-1208.8499999999999</v>
      </c>
      <c r="C10" s="8">
        <v>-1208.8499999999999</v>
      </c>
      <c r="D10" s="5">
        <f t="shared" si="0"/>
        <v>0</v>
      </c>
    </row>
    <row r="11" spans="1:4" x14ac:dyDescent="0.25">
      <c r="A11" s="4" t="s">
        <v>55</v>
      </c>
      <c r="B11" s="5">
        <f>SUMIF(Huvudbok!$A$5:$A$47,A11,Huvudbok!$E$5:$E$47)</f>
        <v>-92115.91</v>
      </c>
      <c r="C11" s="8">
        <v>-92115.91</v>
      </c>
      <c r="D11" s="5">
        <f t="shared" si="0"/>
        <v>0</v>
      </c>
    </row>
    <row r="12" spans="1:4" x14ac:dyDescent="0.25">
      <c r="A12" s="4" t="s">
        <v>80</v>
      </c>
      <c r="B12" s="5">
        <f>SUMIF(Huvudbok!$A$5:$A$47,A12,Huvudbok!$E$5:$E$47)</f>
        <v>-54024.56</v>
      </c>
      <c r="C12" s="8">
        <v>-54024.56</v>
      </c>
      <c r="D12" s="5">
        <f t="shared" si="0"/>
        <v>0</v>
      </c>
    </row>
    <row r="13" spans="1:4" x14ac:dyDescent="0.25">
      <c r="A13" s="9" t="s">
        <v>98</v>
      </c>
      <c r="B13" s="10">
        <f>SUM(B5:B12)</f>
        <v>-11608.320000000007</v>
      </c>
      <c r="C13" s="10">
        <f>SUM(C5:C12)</f>
        <v>-11608.320000000007</v>
      </c>
      <c r="D13" s="10">
        <f t="shared" si="0"/>
        <v>0</v>
      </c>
    </row>
    <row r="14" spans="1:4" x14ac:dyDescent="0.25">
      <c r="A14" s="9" t="s">
        <v>99</v>
      </c>
      <c r="B14" s="4"/>
      <c r="C14" s="8">
        <v>-11268.32</v>
      </c>
      <c r="D14" s="4"/>
    </row>
    <row r="15" spans="1:4" x14ac:dyDescent="0.25">
      <c r="A15" s="9" t="s">
        <v>100</v>
      </c>
      <c r="B15" s="10">
        <f>ROUND(B13-C14,2)</f>
        <v>-340</v>
      </c>
      <c r="C15" s="4" t="s">
        <v>101</v>
      </c>
      <c r="D1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cols>
    <col min="1" max="1" width="80" customWidth="1"/>
    <col min="2" max="2" width="18" customWidth="1"/>
    <col min="3" max="3" width="42" customWidth="1"/>
  </cols>
  <sheetData>
    <row r="1" spans="1:3" ht="16.5" x14ac:dyDescent="0.25">
      <c r="A1" s="1" t="s">
        <v>102</v>
      </c>
    </row>
    <row r="2" spans="1:3" x14ac:dyDescent="0.25">
      <c r="A2" s="2" t="s">
        <v>103</v>
      </c>
    </row>
    <row r="4" spans="1:3" x14ac:dyDescent="0.25">
      <c r="A4" s="4" t="s">
        <v>104</v>
      </c>
      <c r="B4" s="5">
        <f>Avstämning!C14</f>
        <v>-11268.32</v>
      </c>
      <c r="C4" s="4"/>
    </row>
    <row r="5" spans="1:3" x14ac:dyDescent="0.25">
      <c r="A5" s="4" t="s">
        <v>105</v>
      </c>
      <c r="B5" s="5">
        <f>ROUND(SUM(Huvudbok!E5:E47)-(Huvudbok!E23+Huvudbok!E14+Huvudbok!E39+Huvudbok!E15),2)</f>
        <v>-9356.32</v>
      </c>
      <c r="C5" s="4"/>
    </row>
    <row r="6" spans="1:3" x14ac:dyDescent="0.25">
      <c r="A6" s="4"/>
      <c r="B6" s="5"/>
      <c r="C6" s="4"/>
    </row>
    <row r="7" spans="1:3" x14ac:dyDescent="0.25">
      <c r="A7" s="3" t="s">
        <v>106</v>
      </c>
      <c r="B7" s="11" t="s">
        <v>6</v>
      </c>
      <c r="C7" s="3" t="s">
        <v>107</v>
      </c>
    </row>
    <row r="8" spans="1:3" x14ac:dyDescent="0.25">
      <c r="A8" s="4" t="s">
        <v>108</v>
      </c>
      <c r="B8" s="5">
        <f>Huvudbok!E23</f>
        <v>-242</v>
      </c>
      <c r="C8" s="12">
        <v>1</v>
      </c>
    </row>
    <row r="9" spans="1:3" x14ac:dyDescent="0.25">
      <c r="A9" s="4" t="s">
        <v>109</v>
      </c>
      <c r="B9" s="5">
        <f>Huvudbok!E14</f>
        <v>-100</v>
      </c>
      <c r="C9" s="12">
        <v>1</v>
      </c>
    </row>
    <row r="10" spans="1:3" x14ac:dyDescent="0.25">
      <c r="A10" s="4" t="s">
        <v>110</v>
      </c>
      <c r="B10" s="5">
        <f>Huvudbok!E39</f>
        <v>-460</v>
      </c>
      <c r="C10" s="12">
        <v>1</v>
      </c>
    </row>
    <row r="11" spans="1:3" x14ac:dyDescent="0.25">
      <c r="A11" s="4" t="s">
        <v>111</v>
      </c>
      <c r="B11" s="5">
        <f>Huvudbok!E15</f>
        <v>-1450</v>
      </c>
      <c r="C11" s="12">
        <v>1</v>
      </c>
    </row>
    <row r="12" spans="1:3" x14ac:dyDescent="0.25">
      <c r="A12" s="4" t="s">
        <v>112</v>
      </c>
      <c r="B12" s="8">
        <v>0</v>
      </c>
      <c r="C12" s="4"/>
    </row>
    <row r="13" spans="1:3" x14ac:dyDescent="0.25">
      <c r="A13" s="4"/>
      <c r="B13" s="5"/>
      <c r="C13" s="4"/>
    </row>
    <row r="14" spans="1:3" x14ac:dyDescent="0.25">
      <c r="A14" s="9" t="s">
        <v>113</v>
      </c>
      <c r="B14" s="10">
        <f>ROUND(B5+SUMPRODUCT(B8:B11,C8:C11)+B12,2)</f>
        <v>-11608.32</v>
      </c>
      <c r="C14" s="4"/>
    </row>
    <row r="15" spans="1:3" x14ac:dyDescent="0.25">
      <c r="A15" s="9" t="s">
        <v>114</v>
      </c>
      <c r="B15" s="10">
        <f>ROUND(B14-B4,2)</f>
        <v>-340</v>
      </c>
      <c r="C15" s="4" t="s">
        <v>115</v>
      </c>
    </row>
    <row r="16" spans="1:3" x14ac:dyDescent="0.25">
      <c r="A16" s="4"/>
      <c r="B16" s="5"/>
      <c r="C16" s="4"/>
    </row>
    <row r="17" spans="1:3" x14ac:dyDescent="0.25">
      <c r="A17" s="9" t="s">
        <v>116</v>
      </c>
      <c r="B17" s="5"/>
      <c r="C17" s="4"/>
    </row>
    <row r="18" spans="1:3" x14ac:dyDescent="0.25">
      <c r="A18" s="3" t="s">
        <v>117</v>
      </c>
      <c r="B18" s="11" t="s">
        <v>118</v>
      </c>
      <c r="C18" s="3" t="s">
        <v>119</v>
      </c>
    </row>
    <row r="19" spans="1:3" x14ac:dyDescent="0.25">
      <c r="A19" s="4" t="s">
        <v>120</v>
      </c>
      <c r="B19" s="5">
        <f>ROUND(Avstämning!B13-Huvudbok!E23-Huvudbok!E14,2)</f>
        <v>-11266.32</v>
      </c>
      <c r="C19" s="5">
        <f>ROUND(B19-B4,2)</f>
        <v>2</v>
      </c>
    </row>
    <row r="20" spans="1:3" x14ac:dyDescent="0.25">
      <c r="A20" s="4" t="s">
        <v>121</v>
      </c>
      <c r="B20" s="5">
        <f>ROUND(B4-B5-Huvudbok!E15,2)</f>
        <v>-462</v>
      </c>
      <c r="C20" s="4"/>
    </row>
    <row r="21" spans="1:3" x14ac:dyDescent="0.25">
      <c r="A21" s="4" t="s">
        <v>122</v>
      </c>
      <c r="B21" s="5">
        <f>ROUND(B4-Avstämning!B13,2)</f>
        <v>340</v>
      </c>
      <c r="C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Huvudbok</vt:lpstr>
      <vt:lpstr>Avstämning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 Lundgren</cp:lastModifiedBy>
  <dcterms:created xsi:type="dcterms:W3CDTF">2026-10-21T14:30:25Z</dcterms:created>
  <dcterms:modified xsi:type="dcterms:W3CDTF">2026-10-21T14:32:47Z</dcterms:modified>
</cp:coreProperties>
</file>